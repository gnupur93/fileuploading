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rahul\Downloads\"/>
    </mc:Choice>
  </mc:AlternateContent>
  <xr:revisionPtr revIDLastSave="0" documentId="13_ncr:1_{5E678FEB-29FD-496D-A0A6-41B8D03311C1}"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preciation Calculator" sheetId="1"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1" l="1"/>
  <c r="H28" i="1"/>
  <c r="G28" i="1"/>
  <c r="G29" i="1"/>
  <c r="I27" i="1"/>
  <c r="I26" i="1"/>
  <c r="G27" i="1" s="1"/>
  <c r="H27" i="1" s="1"/>
  <c r="H26" i="1"/>
  <c r="D20" i="1"/>
  <c r="D23" i="1" s="1"/>
  <c r="D8" i="1"/>
  <c r="H29" i="1" l="1"/>
  <c r="I29" i="1" s="1"/>
  <c r="G30" i="1" s="1"/>
  <c r="C26" i="1"/>
  <c r="D11" i="1"/>
  <c r="D12" i="1" s="1"/>
  <c r="H30" i="1" l="1"/>
  <c r="I30" i="1"/>
  <c r="G31" i="1" s="1"/>
  <c r="D27" i="1"/>
  <c r="D13" i="1"/>
  <c r="H31" i="1" l="1"/>
  <c r="I31" i="1" s="1"/>
  <c r="G32" i="1" s="1"/>
  <c r="D14" i="1"/>
  <c r="D15" i="1" s="1"/>
  <c r="C27" i="1"/>
  <c r="D28" i="1" s="1"/>
  <c r="H32" i="1" l="1"/>
  <c r="I32" i="1"/>
  <c r="G33" i="1" s="1"/>
  <c r="C28" i="1"/>
  <c r="D29" i="1" s="1"/>
  <c r="C29" i="1" s="1"/>
  <c r="H33" i="1" l="1"/>
  <c r="I33" i="1" s="1"/>
  <c r="G34" i="1" s="1"/>
  <c r="D30" i="1"/>
  <c r="C30" i="1" s="1"/>
  <c r="H34" i="1" l="1"/>
  <c r="I34" i="1"/>
  <c r="G35" i="1" s="1"/>
  <c r="D31" i="1"/>
  <c r="C31" i="1" s="1"/>
  <c r="H35" i="1" l="1"/>
  <c r="I35" i="1" s="1"/>
  <c r="D32" i="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<sst xmlns="http://schemas.openxmlformats.org/spreadsheetml/2006/main" count="27" uniqueCount="23">
  <si>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</si>
  <si>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</si>
  <si>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</si>
  <si>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</si>
  <si>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</si>
  <si>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</si>
  <si>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</si>
  <si>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</si>
  <si>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</si>
  <si>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</si>
  <si>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</si>
  <si>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</si>
  <si>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</si>
  <si>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</si>
  <si>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</si>
  <si>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</si>
  <si>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</si>
  <si>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</si>
  <si>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</si>
  <si>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</si>
  <si>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Opening Book Value</t>
  </si>
  <si>
    <t>Depreciation</t>
  </si>
  <si>
    <t>Closing Book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</si>
</sst>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0.00_ ;[Red]\-[$$-409]#,##0.00\ "/>
    <numFmt numFmtId="165" formatCode="[$$-409]#,##0.00"/>
    <numFmt numFmtId="166" formatCode="_ * #,##0_ ;_ * \-#,##0_ ;_ * &quot;-&quot;??_ ;_ @_ "/>
  </numFmts>
  <fonts count="12"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sz val="11"/>
      <color theme="1"/>
      <name val="Calibri"/>
      <family val="2"/>
      <scheme val="minor"/>
    </font>
    <font>
      <b/>
      <sz val="14"/>
      <color theme="1"/>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7">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43" fontId="10" fillId="0" borderId="0" applyFont="0" applyFill="0" applyBorder="0" applyAlignment="0" applyProtection="0"/>
  </cellStyleXfs>
  <cellXfs count="26">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6" fontId="1" fillId="0" borderId="6" xfId="2" applyNumberFormat="1" applyFont="1" applyBorder="1" applyAlignment="1">
      <alignment horizontal="left"/>
    </xf>
    <xf numFmtId="166" fontId="1" fillId="0" borderId="6" xfId="2" applyNumberFormat="1" applyFont="1" applyBorder="1" applyAlignment="1">
      <alignment horizontal="center" vertical="top"/>
    </xf>
    <xf numFmtId="166" fontId="11" fillId="0" borderId="6" xfId="2" applyNumberFormat="1" applyFont="1" applyBorder="1" applyAlignment="1">
      <alignment horizontal="left"/>
    </xf>
    <xf numFmtId="166" fontId="11" fillId="0" borderId="6" xfId="2" applyNumberFormat="1" applyFont="1" applyBorder="1" applyAlignment="1">
      <alignment horizontal="center" vertical="top"/>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70" zoomScaleNormal="70"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tabSelected="1" topLeftCell="A19" workbookViewId="0">
      <selection activeCell="G23" sqref="G23"/>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27.109375" style="1" customWidth="1"/>
    <col min="8" max="8" width="25.88671875" style="1" customWidth="1"/>
    <col min="9" max="9" width="21.21875" style="1" customWidth="1"/>
    <col min="10" max="16384" width="8.6640625" style="1"/>
  </cols>
  <sheetData>
    <row r="1" spans="1:5" ht="9.9" customHeight="1" thickBot="1" x14ac:dyDescent="0.35">
      <c r="A1" s="9"/>
      <c r="B1" s="9"/>
      <c r="C1" s="9"/>
      <c r="D1" s="9"/>
      <c r="E1" s="9"/>
    </row>
    <row r="2" spans="1:5" ht="37.799999999999997" thickTop="1" thickBot="1" x14ac:dyDescent="0.35">
      <c r="A2" s="9"/>
      <c r="B2" s="22"/>
      <c r="C2" s="20" t="s">
        <v>19</v>
      </c>
      <c r="D2" s="20"/>
      <c r="E2" s="9"/>
    </row>
    <row r="3" spans="1:5" ht="25.8" thickTop="1" thickBot="1" x14ac:dyDescent="0.35">
      <c r="A3" s="9"/>
      <c r="B3" s="23"/>
      <c r="C3" s="21" t="s">
        <v>8</v>
      </c>
      <c r="D3" s="21"/>
      <c r="E3" s="9"/>
    </row>
    <row r="4" spans="1:5" ht="19.2" thickTop="1" thickBot="1" x14ac:dyDescent="0.35">
      <c r="A4" s="9"/>
      <c r="B4" s="5"/>
      <c r="C4" s="5"/>
      <c r="D4" s="5"/>
      <c r="E4" s="9"/>
    </row>
    <row r="5" spans="1:5" ht="25.8" thickTop="1" thickBot="1" x14ac:dyDescent="0.35">
      <c r="A5" s="9"/>
      <c r="B5" s="18" t="s">
        <v>17</v>
      </c>
      <c r="C5" s="18"/>
      <c r="D5" s="18"/>
      <c r="E5" s="9"/>
    </row>
    <row r="6" spans="1:5" ht="19.2" thickTop="1" thickBot="1" x14ac:dyDescent="0.35">
      <c r="A6" s="9"/>
      <c r="B6" s="16" t="s">
        <v>11</v>
      </c>
      <c r="C6" s="17"/>
      <c r="D6" s="10">
        <v>450000</v>
      </c>
      <c r="E6" s="9"/>
    </row>
    <row r="7" spans="1:5" ht="19.2" thickTop="1" thickBot="1" x14ac:dyDescent="0.35">
      <c r="A7" s="9"/>
      <c r="B7" s="16" t="s">
        <v>13</v>
      </c>
      <c r="C7" s="17"/>
      <c r="D7" s="10">
        <v>50000</v>
      </c>
      <c r="E7" s="9"/>
    </row>
    <row r="8" spans="1:5" ht="19.2" thickTop="1" thickBot="1" x14ac:dyDescent="0.35">
      <c r="A8" s="9"/>
      <c r="B8" s="16" t="s">
        <v>0</v>
      </c>
      <c r="C8" s="17"/>
      <c r="D8" s="4">
        <f>D6+D7</f>
        <v>500000</v>
      </c>
      <c r="E8" s="9"/>
    </row>
    <row r="9" spans="1:5" ht="19.2" thickTop="1" thickBot="1" x14ac:dyDescent="0.35">
      <c r="A9" s="9"/>
      <c r="B9" s="16" t="s">
        <v>1</v>
      </c>
      <c r="C9" s="17"/>
      <c r="D9" s="10">
        <v>50000</v>
      </c>
      <c r="E9" s="9"/>
    </row>
    <row r="10" spans="1:5" ht="19.2" thickTop="1" thickBot="1" x14ac:dyDescent="0.35">
      <c r="A10" s="9"/>
      <c r="B10" s="16" t="s">
        <v>2</v>
      </c>
      <c r="C10" s="17"/>
      <c r="D10" s="11">
        <v>10</v>
      </c>
      <c r="E10" s="9"/>
    </row>
    <row r="11" spans="1:5" ht="19.2" thickTop="1" thickBot="1" x14ac:dyDescent="0.35">
      <c r="A11" s="9"/>
      <c r="B11" s="19" t="s">
        <v>9</v>
      </c>
      <c r="C11" s="19"/>
      <c r="D11" s="4">
        <f>IF(D8="", "", SLN($D$8,$D$9,$D$10))</f>
        <v>45000</v>
      </c>
      <c r="E11" s="9"/>
    </row>
    <row r="12" spans="1:5" ht="19.2" thickTop="1" thickBot="1" x14ac:dyDescent="0.35">
      <c r="A12" s="9"/>
      <c r="B12" s="19" t="s">
        <v>12</v>
      </c>
      <c r="C12" s="19"/>
      <c r="D12" s="6">
        <f>IFERROR(D11/D8,"")</f>
        <v>0.09</v>
      </c>
      <c r="E12" s="9"/>
    </row>
    <row r="13" spans="1:5" ht="19.2" thickTop="1" thickBot="1" x14ac:dyDescent="0.35">
      <c r="A13" s="9"/>
      <c r="B13" s="16" t="s">
        <v>5</v>
      </c>
      <c r="C13" s="17"/>
      <c r="D13" s="3">
        <f>IF(D8="", "", D11*D10)</f>
        <v>450000</v>
      </c>
      <c r="E13" s="9"/>
    </row>
    <row r="14" spans="1:5" ht="19.2" thickTop="1" thickBot="1" x14ac:dyDescent="0.35">
      <c r="A14" s="9"/>
      <c r="B14" s="16" t="s">
        <v>4</v>
      </c>
      <c r="C14" s="17"/>
      <c r="D14" s="3">
        <f>IF(D8="", "", D8-D13)</f>
        <v>50000</v>
      </c>
      <c r="E14" s="9"/>
    </row>
    <row r="15" spans="1:5" ht="19.2" thickTop="1" thickBot="1" x14ac:dyDescent="0.35">
      <c r="A15" s="9"/>
      <c r="B15" s="16" t="s">
        <v>6</v>
      </c>
      <c r="C15" s="17"/>
      <c r="D15" s="3">
        <f>IF(D8="", "", D9-D14)</f>
        <v>0</v>
      </c>
      <c r="E15" s="9"/>
    </row>
    <row r="16" spans="1:5" ht="19.2" thickTop="1" thickBot="1" x14ac:dyDescent="0.35">
      <c r="A16" s="9"/>
      <c r="B16" s="5"/>
      <c r="C16" s="5"/>
      <c r="D16" s="5"/>
      <c r="E16" s="9"/>
    </row>
    <row r="17" spans="1:9" ht="25.8" thickTop="1" thickBot="1" x14ac:dyDescent="0.35">
      <c r="A17" s="9"/>
      <c r="B17" s="18" t="s">
        <v>16</v>
      </c>
      <c r="C17" s="18"/>
      <c r="D17" s="18"/>
      <c r="E17" s="9"/>
    </row>
    <row r="18" spans="1:9" ht="18.899999999999999" customHeight="1" thickTop="1" thickBot="1" x14ac:dyDescent="0.35">
      <c r="A18" s="9"/>
      <c r="B18" s="19" t="s">
        <v>11</v>
      </c>
      <c r="C18" s="19"/>
      <c r="D18" s="10">
        <v>450000</v>
      </c>
      <c r="E18" s="9"/>
    </row>
    <row r="19" spans="1:9" ht="18.899999999999999" customHeight="1" thickTop="1" thickBot="1" x14ac:dyDescent="0.35">
      <c r="A19" s="9"/>
      <c r="B19" s="19" t="s">
        <v>14</v>
      </c>
      <c r="C19" s="19"/>
      <c r="D19" s="10">
        <v>50000</v>
      </c>
      <c r="E19" s="9"/>
    </row>
    <row r="20" spans="1:9" ht="18.899999999999999" customHeight="1" thickTop="1" thickBot="1" x14ac:dyDescent="0.35">
      <c r="A20" s="9"/>
      <c r="B20" s="19" t="s">
        <v>0</v>
      </c>
      <c r="C20" s="19"/>
      <c r="D20" s="4">
        <f>D18+D19</f>
        <v>500000</v>
      </c>
      <c r="E20" s="9"/>
    </row>
    <row r="21" spans="1:9" ht="18.899999999999999" customHeight="1" thickTop="1" thickBot="1" x14ac:dyDescent="0.35">
      <c r="A21" s="9"/>
      <c r="B21" s="19" t="s">
        <v>1</v>
      </c>
      <c r="C21" s="19"/>
      <c r="D21" s="10">
        <v>50000</v>
      </c>
      <c r="E21" s="9"/>
    </row>
    <row r="22" spans="1:9" ht="18.899999999999999" customHeight="1" thickTop="1" thickBot="1" x14ac:dyDescent="0.35">
      <c r="A22" s="9"/>
      <c r="B22" s="19" t="s">
        <v>2</v>
      </c>
      <c r="C22" s="19"/>
      <c r="D22" s="11">
        <v>10</v>
      </c>
      <c r="E22" s="9"/>
    </row>
    <row r="23" spans="1:9" ht="18.899999999999999" customHeight="1" thickTop="1" thickBot="1" x14ac:dyDescent="0.35">
      <c r="A23" s="9"/>
      <c r="B23" s="24" t="s">
        <v>10</v>
      </c>
      <c r="C23" s="24"/>
      <c r="D23" s="6">
        <f>IF(D20="","",1-(D21/D20)^(1/D22))</f>
        <v>0.20567176527571851</v>
      </c>
      <c r="E23" s="9"/>
    </row>
    <row r="24" spans="1:9" ht="24" thickTop="1" thickBot="1" x14ac:dyDescent="0.35">
      <c r="A24" s="9"/>
      <c r="B24" s="25" t="s">
        <v>15</v>
      </c>
      <c r="C24" s="25"/>
      <c r="D24" s="25"/>
      <c r="E24" s="9"/>
    </row>
    <row r="25" spans="1:9" ht="19.2" thickTop="1" thickBot="1" x14ac:dyDescent="0.35">
      <c r="A25" s="9"/>
      <c r="B25" s="7" t="s">
        <v>7</v>
      </c>
      <c r="C25" s="7" t="s">
        <v>18</v>
      </c>
      <c r="D25" s="7" t="s">
        <v>3</v>
      </c>
      <c r="E25" s="9"/>
      <c r="G25" s="14" t="s">
        <v>20</v>
      </c>
      <c r="H25" s="15" t="s">
        <v>21</v>
      </c>
      <c r="I25" s="15" t="s">
        <v>22</v>
      </c>
    </row>
    <row r="26" spans="1:9" ht="19.2" thickTop="1" thickBot="1" x14ac:dyDescent="0.4">
      <c r="A26" s="9"/>
      <c r="B26" s="2">
        <v>1</v>
      </c>
      <c r="C26" s="8" t="str">
        <f>IFERROR(IF(D26&gt;$D$21, (D26*$D$23), ""),"")</f>
        <v/>
      </c>
      <c r="D26" s="8"/>
      <c r="E26" s="9"/>
      <c r="G26" s="12">
        <v>500000</v>
      </c>
      <c r="H26" s="13">
        <f>G26*$D$23</f>
        <v>102835.88263785925</v>
      </c>
      <c r="I26" s="13">
        <f>G26-H26</f>
        <v>397164.11736214074</v>
      </c>
    </row>
    <row r="27" spans="1:9" ht="19.2" thickTop="1" thickBot="1" x14ac:dyDescent="0.4">
      <c r="A27" s="9"/>
      <c r="B27" s="2">
        <v>2</v>
      </c>
      <c r="C27" s="8" t="str">
        <f t="shared" ref="C27:C45" si="0">IFERROR(IF(D27&gt;$D$21, (D27*$D$23), ""),"")</f>
        <v/>
      </c>
      <c r="D27" s="8" t="str">
        <f t="shared" ref="D27:D45" si="1">IFERROR(D26-C26, "")</f>
        <v/>
      </c>
      <c r="E27" s="9"/>
      <c r="G27" s="12">
        <f>I26</f>
        <v>397164.11736214074</v>
      </c>
      <c r="H27" s="13">
        <f>G27*$D$23</f>
        <v>81685.445122044126</v>
      </c>
      <c r="I27" s="13">
        <f>G27-H27</f>
        <v>315478.67224009661</v>
      </c>
    </row>
    <row r="28" spans="1:9" ht="19.2" thickTop="1" thickBot="1" x14ac:dyDescent="0.4">
      <c r="A28" s="9"/>
      <c r="B28" s="2">
        <v>3</v>
      </c>
      <c r="C28" s="8" t="str">
        <f t="shared" si="0"/>
        <v/>
      </c>
      <c r="D28" s="8" t="str">
        <f t="shared" si="1"/>
        <v/>
      </c>
      <c r="E28" s="9"/>
      <c r="G28" s="12">
        <f t="shared" ref="G28:G35" si="2">I27</f>
        <v>315478.67224009661</v>
      </c>
      <c r="H28" s="13">
        <f t="shared" ref="H28:H35" si="3">G28*$D$23</f>
        <v>64885.05542646048</v>
      </c>
      <c r="I28" s="13">
        <f t="shared" ref="I28:I35" si="4">G28-H28</f>
        <v>250593.61681363612</v>
      </c>
    </row>
    <row r="29" spans="1:9" ht="19.2" thickTop="1" thickBot="1" x14ac:dyDescent="0.4">
      <c r="A29" s="9"/>
      <c r="B29" s="2"/>
      <c r="C29" s="8" t="str">
        <f t="shared" si="0"/>
        <v/>
      </c>
      <c r="D29" s="8" t="str">
        <f t="shared" si="1"/>
        <v/>
      </c>
      <c r="E29" s="9"/>
      <c r="G29" s="12">
        <f t="shared" si="2"/>
        <v>250593.61681363612</v>
      </c>
      <c r="H29" s="13">
        <f t="shared" si="3"/>
        <v>51540.031536887516</v>
      </c>
      <c r="I29" s="13">
        <f t="shared" si="4"/>
        <v>199053.58527674861</v>
      </c>
    </row>
    <row r="30" spans="1:9" ht="19.2" thickTop="1" thickBot="1" x14ac:dyDescent="0.4">
      <c r="A30" s="9"/>
      <c r="B30" s="2"/>
      <c r="C30" s="8" t="str">
        <f t="shared" si="0"/>
        <v/>
      </c>
      <c r="D30" s="8" t="str">
        <f t="shared" si="1"/>
        <v/>
      </c>
      <c r="E30" s="9"/>
      <c r="G30" s="12">
        <f t="shared" si="2"/>
        <v>199053.58527674861</v>
      </c>
      <c r="H30" s="13">
        <f t="shared" si="3"/>
        <v>40939.70226832966</v>
      </c>
      <c r="I30" s="13">
        <f t="shared" si="4"/>
        <v>158113.88300841895</v>
      </c>
    </row>
    <row r="31" spans="1:9" ht="19.2" thickTop="1" thickBot="1" x14ac:dyDescent="0.4">
      <c r="A31" s="9"/>
      <c r="B31" s="2"/>
      <c r="C31" s="8" t="str">
        <f t="shared" si="0"/>
        <v/>
      </c>
      <c r="D31" s="8" t="str">
        <f t="shared" si="1"/>
        <v/>
      </c>
      <c r="E31" s="9"/>
      <c r="G31" s="12">
        <f t="shared" si="2"/>
        <v>158113.88300841895</v>
      </c>
      <c r="H31" s="13">
        <f t="shared" si="3"/>
        <v>32519.561432939961</v>
      </c>
      <c r="I31" s="13">
        <f t="shared" si="4"/>
        <v>125594.321575479</v>
      </c>
    </row>
    <row r="32" spans="1:9" ht="19.2" thickTop="1" thickBot="1" x14ac:dyDescent="0.4">
      <c r="A32" s="9"/>
      <c r="B32" s="2"/>
      <c r="C32" s="8" t="str">
        <f t="shared" si="0"/>
        <v/>
      </c>
      <c r="D32" s="8" t="str">
        <f t="shared" si="1"/>
        <v/>
      </c>
      <c r="E32" s="9"/>
      <c r="G32" s="12">
        <f t="shared" si="2"/>
        <v>125594.321575479</v>
      </c>
      <c r="H32" s="13">
        <f t="shared" si="3"/>
        <v>25831.205827035024</v>
      </c>
      <c r="I32" s="13">
        <f t="shared" si="4"/>
        <v>99763.115748443975</v>
      </c>
    </row>
    <row r="33" spans="1:9" ht="19.2" thickTop="1" thickBot="1" x14ac:dyDescent="0.4">
      <c r="A33" s="9"/>
      <c r="B33" s="2"/>
      <c r="C33" s="8" t="str">
        <f t="shared" si="0"/>
        <v/>
      </c>
      <c r="D33" s="8" t="str">
        <f t="shared" si="1"/>
        <v/>
      </c>
      <c r="E33" s="9"/>
      <c r="G33" s="12">
        <f t="shared" si="2"/>
        <v>99763.115748443975</v>
      </c>
      <c r="H33" s="13">
        <f t="shared" si="3"/>
        <v>20518.456125388308</v>
      </c>
      <c r="I33" s="13">
        <f t="shared" si="4"/>
        <v>79244.659623055661</v>
      </c>
    </row>
    <row r="34" spans="1:9" ht="19.2" thickTop="1" thickBot="1" x14ac:dyDescent="0.4">
      <c r="A34" s="9"/>
      <c r="B34" s="2"/>
      <c r="C34" s="8" t="str">
        <f t="shared" si="0"/>
        <v/>
      </c>
      <c r="D34" s="8" t="str">
        <f t="shared" si="1"/>
        <v/>
      </c>
      <c r="E34" s="9"/>
      <c r="G34" s="12">
        <f t="shared" si="2"/>
        <v>79244.659623055661</v>
      </c>
      <c r="H34" s="13">
        <f t="shared" si="3"/>
        <v>16298.389033347312</v>
      </c>
      <c r="I34" s="13">
        <f t="shared" si="4"/>
        <v>62946.270589708351</v>
      </c>
    </row>
    <row r="35" spans="1:9" ht="19.2" thickTop="1" thickBot="1" x14ac:dyDescent="0.4">
      <c r="A35" s="9"/>
      <c r="B35" s="2"/>
      <c r="C35" s="8" t="str">
        <f t="shared" si="0"/>
        <v/>
      </c>
      <c r="D35" s="8" t="str">
        <f t="shared" si="1"/>
        <v/>
      </c>
      <c r="E35" s="9"/>
      <c r="G35" s="12">
        <f t="shared" si="2"/>
        <v>62946.270589708351</v>
      </c>
      <c r="H35" s="13">
        <f t="shared" si="3"/>
        <v>12946.27058970836</v>
      </c>
      <c r="I35" s="13">
        <f t="shared" si="4"/>
        <v>49999.999999999993</v>
      </c>
    </row>
    <row r="36" spans="1:9" ht="19.2" thickTop="1" thickBot="1" x14ac:dyDescent="0.4">
      <c r="A36" s="9"/>
      <c r="B36" s="2"/>
      <c r="C36" s="8" t="str">
        <f t="shared" si="0"/>
        <v/>
      </c>
      <c r="D36" s="8" t="str">
        <f t="shared" si="1"/>
        <v/>
      </c>
      <c r="E36" s="9"/>
      <c r="G36" s="12"/>
      <c r="H36" s="13"/>
      <c r="I36" s="13"/>
    </row>
    <row r="37" spans="1:9" ht="19.2" thickTop="1" thickBot="1" x14ac:dyDescent="0.35">
      <c r="A37" s="9"/>
      <c r="B37" s="2"/>
      <c r="C37" s="8" t="str">
        <f t="shared" si="0"/>
        <v/>
      </c>
      <c r="D37" s="8" t="str">
        <f t="shared" si="1"/>
        <v/>
      </c>
      <c r="E37" s="9"/>
    </row>
    <row r="38" spans="1:9" ht="19.2" thickTop="1" thickBot="1" x14ac:dyDescent="0.35">
      <c r="A38" s="9"/>
      <c r="B38" s="2"/>
      <c r="C38" s="8" t="str">
        <f t="shared" si="0"/>
        <v/>
      </c>
      <c r="D38" s="8" t="str">
        <f t="shared" si="1"/>
        <v/>
      </c>
      <c r="E38" s="9"/>
    </row>
    <row r="39" spans="1:9" ht="19.2" thickTop="1" thickBot="1" x14ac:dyDescent="0.35">
      <c r="A39" s="9"/>
      <c r="B39" s="2"/>
      <c r="C39" s="8" t="str">
        <f t="shared" si="0"/>
        <v/>
      </c>
      <c r="D39" s="8" t="str">
        <f t="shared" si="1"/>
        <v/>
      </c>
      <c r="E39" s="9"/>
    </row>
    <row r="40" spans="1:9" ht="19.2" thickTop="1" thickBot="1" x14ac:dyDescent="0.35">
      <c r="A40" s="9"/>
      <c r="B40" s="2"/>
      <c r="C40" s="8" t="str">
        <f t="shared" si="0"/>
        <v/>
      </c>
      <c r="D40" s="8" t="str">
        <f t="shared" si="1"/>
        <v/>
      </c>
      <c r="E40" s="9"/>
    </row>
    <row r="41" spans="1:9" ht="19.2" thickTop="1" thickBot="1" x14ac:dyDescent="0.35">
      <c r="A41" s="9"/>
      <c r="B41" s="2"/>
      <c r="C41" s="8" t="str">
        <f t="shared" si="0"/>
        <v/>
      </c>
      <c r="D41" s="8" t="str">
        <f t="shared" si="1"/>
        <v/>
      </c>
      <c r="E41" s="9"/>
    </row>
    <row r="42" spans="1:9" ht="19.2" thickTop="1" thickBot="1" x14ac:dyDescent="0.35">
      <c r="A42" s="9"/>
      <c r="B42" s="2"/>
      <c r="C42" s="8" t="str">
        <f t="shared" si="0"/>
        <v/>
      </c>
      <c r="D42" s="8" t="str">
        <f t="shared" si="1"/>
        <v/>
      </c>
      <c r="E42" s="9"/>
    </row>
    <row r="43" spans="1:9" ht="19.2" thickTop="1" thickBot="1" x14ac:dyDescent="0.35">
      <c r="A43" s="9"/>
      <c r="B43" s="2"/>
      <c r="C43" s="8" t="str">
        <f t="shared" si="0"/>
        <v/>
      </c>
      <c r="D43" s="8" t="str">
        <f t="shared" si="1"/>
        <v/>
      </c>
      <c r="E43" s="9"/>
    </row>
    <row r="44" spans="1:9" ht="19.2" thickTop="1" thickBot="1" x14ac:dyDescent="0.35">
      <c r="A44" s="9"/>
      <c r="B44" s="2"/>
      <c r="C44" s="8" t="str">
        <f t="shared" si="0"/>
        <v/>
      </c>
      <c r="D44" s="8" t="str">
        <f t="shared" si="1"/>
        <v/>
      </c>
      <c r="E44" s="9"/>
    </row>
    <row r="45" spans="1:9" ht="19.2" thickTop="1" thickBot="1" x14ac:dyDescent="0.35">
      <c r="A45" s="9"/>
      <c r="B45" s="2"/>
      <c r="C45" s="8" t="str">
        <f t="shared" si="0"/>
        <v/>
      </c>
      <c r="D45" s="8" t="str">
        <f t="shared" si="1"/>
        <v/>
      </c>
      <c r="E45" s="9"/>
    </row>
    <row r="46" spans="1:9"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DB4E-D8C3-42DC-BD59-549742CA46DF}">
  <dimension ref="A1"/>
  <sheetViews>
    <sheetView workbookViewId="0">
      <selection sqref="A1:A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Rahul Gupta</cp:lastModifiedBy>
  <cp:lastPrinted>2019-12-30T11:34:18Z</cp:lastPrinted>
  <dcterms:created xsi:type="dcterms:W3CDTF">2019-12-30T10:28:43Z</dcterms:created>
  <dcterms:modified xsi:type="dcterms:W3CDTF">2026-03-30T16:02:37Z</dcterms:modified>
</cp:coreProperties>
</file>